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matt\Source\Repos\dualtraining\Dual\"/>
    </mc:Choice>
  </mc:AlternateContent>
  <bookViews>
    <workbookView xWindow="0" yWindow="0" windowWidth="5385" windowHeight="7845" activeTab="1"/>
  </bookViews>
  <sheets>
    <sheet name="Sheet2" sheetId="2" r:id="rId1"/>
    <sheet name="Sheet1" sheetId="1" r:id="rId2"/>
  </sheets>
  <definedNames>
    <definedName name="solver_adj" localSheetId="1" hidden="1">Sheet1!$E$15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Sheet1!$D$15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0.085</definedName>
    <definedName name="solver_ver" localSheetId="1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" l="1"/>
  <c r="G5" i="1" s="1"/>
  <c r="E4" i="1"/>
  <c r="E3" i="1"/>
  <c r="E16" i="1"/>
  <c r="G16" i="1" s="1"/>
  <c r="E14" i="1"/>
  <c r="G14" i="1" s="1"/>
  <c r="E12" i="1"/>
  <c r="G12" i="1" s="1"/>
  <c r="D13" i="1" s="1"/>
  <c r="G17" i="1"/>
  <c r="G15" i="1"/>
  <c r="G13" i="1"/>
  <c r="G11" i="1"/>
  <c r="G9" i="1"/>
  <c r="G7" i="1"/>
  <c r="E10" i="1"/>
  <c r="G10" i="1" s="1"/>
  <c r="E8" i="1"/>
  <c r="G8" i="1" s="1"/>
  <c r="D11" i="1" l="1"/>
  <c r="D7" i="1"/>
  <c r="D9" i="1"/>
  <c r="D15" i="1"/>
  <c r="F17" i="1" l="1"/>
  <c r="F16" i="1"/>
  <c r="F15" i="1"/>
  <c r="F14" i="1"/>
  <c r="F13" i="1"/>
  <c r="F12" i="1"/>
  <c r="F11" i="1"/>
  <c r="F10" i="1"/>
  <c r="F9" i="1"/>
  <c r="F8" i="1"/>
  <c r="F7" i="1"/>
  <c r="F5" i="1"/>
  <c r="B17" i="1"/>
  <c r="B16" i="1"/>
  <c r="B15" i="1"/>
  <c r="B14" i="1"/>
  <c r="B13" i="1"/>
  <c r="B12" i="1"/>
  <c r="B11" i="1"/>
  <c r="B10" i="1"/>
  <c r="B9" i="1"/>
  <c r="B8" i="1"/>
  <c r="A10" i="1"/>
  <c r="A11" i="1" s="1"/>
  <c r="A12" i="1" s="1"/>
  <c r="A13" i="1" s="1"/>
  <c r="A14" i="1" s="1"/>
  <c r="A15" i="1" s="1"/>
  <c r="A16" i="1" s="1"/>
  <c r="A17" i="1" s="1"/>
  <c r="A9" i="1"/>
  <c r="A8" i="1"/>
  <c r="B7" i="1"/>
  <c r="B5" i="1"/>
  <c r="B4" i="1"/>
  <c r="B3" i="1"/>
</calcChain>
</file>

<file path=xl/sharedStrings.xml><?xml version="1.0" encoding="utf-8"?>
<sst xmlns="http://schemas.openxmlformats.org/spreadsheetml/2006/main" count="25" uniqueCount="25">
  <si>
    <t>df</t>
    <phoneticPr fontId="1"/>
  </si>
  <si>
    <t>1Y</t>
    <phoneticPr fontId="1"/>
  </si>
  <si>
    <t>1Y6M</t>
    <phoneticPr fontId="1"/>
  </si>
  <si>
    <t>2Y</t>
    <phoneticPr fontId="1"/>
  </si>
  <si>
    <t>2Y6M</t>
    <phoneticPr fontId="1"/>
  </si>
  <si>
    <t>3Y</t>
    <phoneticPr fontId="1"/>
  </si>
  <si>
    <t>3Y6M</t>
    <phoneticPr fontId="1"/>
  </si>
  <si>
    <t>4Y</t>
    <phoneticPr fontId="1"/>
  </si>
  <si>
    <t>4Y6M</t>
    <phoneticPr fontId="1"/>
  </si>
  <si>
    <t>5Y</t>
    <phoneticPr fontId="1"/>
  </si>
  <si>
    <t>5Y6M</t>
    <phoneticPr fontId="1"/>
  </si>
  <si>
    <t>6Y</t>
    <phoneticPr fontId="1"/>
  </si>
  <si>
    <t>dcf</t>
    <phoneticPr fontId="1"/>
  </si>
  <si>
    <t>ACT360</t>
    <phoneticPr fontId="1"/>
  </si>
  <si>
    <t>O/N</t>
    <phoneticPr fontId="1"/>
  </si>
  <si>
    <t>T/N</t>
    <phoneticPr fontId="1"/>
  </si>
  <si>
    <t>6M</t>
    <phoneticPr fontId="1"/>
  </si>
  <si>
    <t>swap rate</t>
    <phoneticPr fontId="1"/>
  </si>
  <si>
    <t>cash rate</t>
    <phoneticPr fontId="1"/>
  </si>
  <si>
    <t>基準日</t>
    <rPh sb="0" eb="3">
      <t>キジュンビ</t>
    </rPh>
    <phoneticPr fontId="1"/>
  </si>
  <si>
    <t>df * dcf</t>
    <phoneticPr fontId="1"/>
  </si>
  <si>
    <t>作成手順</t>
    <rPh sb="0" eb="2">
      <t>サクセイ</t>
    </rPh>
    <rPh sb="2" eb="4">
      <t>テジュン</t>
    </rPh>
    <phoneticPr fontId="1"/>
  </si>
  <si>
    <t>・マーケットクオートされている2Y swap rateを目標にソルバーでゴールシークする（変動させるのは2Y DF）</t>
    <rPh sb="28" eb="30">
      <t>モクヒョウ</t>
    </rPh>
    <rPh sb="45" eb="47">
      <t>ヘンドウ</t>
    </rPh>
    <phoneticPr fontId="1"/>
  </si>
  <si>
    <t>・2Y swap rateの式と1Y6MのDFの補間式を、それぞれのセルへ入力する。</t>
    <rPh sb="14" eb="15">
      <t>シキ</t>
    </rPh>
    <rPh sb="24" eb="26">
      <t>ホカン</t>
    </rPh>
    <rPh sb="26" eb="27">
      <t>シキ</t>
    </rPh>
    <rPh sb="37" eb="39">
      <t>ニュウリョク</t>
    </rPh>
    <phoneticPr fontId="1"/>
  </si>
  <si>
    <t>df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</si>
</sst>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"/>
  <sheetViews>
    <sheetView workbookViewId="0">
      <selection activeCell="A3" sqref="A3"/>
    </sheetView>
  </sheetViews>
  <sheetFormatPr defaultRowHeight="17.649999999999999" x14ac:dyDescent="0.7"/>
  <sheetData>
    <row r="1" spans="1:1" x14ac:dyDescent="0.7">
      <c r="A1" t="s">
        <v>21</v>
      </c>
    </row>
    <row r="2" spans="1:1" x14ac:dyDescent="0.7">
      <c r="A2" t="s">
        <v>23</v>
      </c>
    </row>
    <row r="3" spans="1:1" x14ac:dyDescent="0.7">
      <c r="A3" t="s">
        <v>22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tabSelected="1" workbookViewId="0">
      <selection activeCell="D7" sqref="D7"/>
    </sheetView>
  </sheetViews>
  <sheetFormatPr defaultRowHeight="17.649999999999999" x14ac:dyDescent="0.7"/>
  <cols>
    <col min="2" max="2" width="9.75" bestFit="1" customWidth="1"/>
  </cols>
  <sheetData>
    <row r="1" spans="1:10" x14ac:dyDescent="0.7">
      <c r="B1" t="s">
        <v>19</v>
      </c>
      <c r="C1" s="1">
        <v>42499</v>
      </c>
      <c r="F1" t="s">
        <v>13</v>
      </c>
    </row>
    <row r="2" spans="1:10" x14ac:dyDescent="0.7">
      <c r="D2" t="s">
        <v>18</v>
      </c>
      <c r="E2" t="s">
        <v>0</v>
      </c>
      <c r="F2" t="s">
        <v>12</v>
      </c>
      <c r="G2" t="s">
        <v>20</v>
      </c>
      <c r="J2" t="s">
        <v>24</v>
      </c>
    </row>
    <row r="3" spans="1:10" x14ac:dyDescent="0.7">
      <c r="B3" s="1">
        <f>$C$1+WEEKDAY(1)</f>
        <v>42500</v>
      </c>
      <c r="C3" t="s">
        <v>14</v>
      </c>
      <c r="D3">
        <v>0.01</v>
      </c>
      <c r="E3">
        <f>1/(1+D3)</f>
        <v>0.99009900990099009</v>
      </c>
    </row>
    <row r="4" spans="1:10" x14ac:dyDescent="0.7">
      <c r="B4" s="1">
        <f>$C$1+WEEKDAY(2)</f>
        <v>42501</v>
      </c>
      <c r="C4" t="s">
        <v>15</v>
      </c>
      <c r="D4">
        <v>1.0999999999999999E-2</v>
      </c>
      <c r="E4">
        <f>1/(1+D4)</f>
        <v>0.98911968348170143</v>
      </c>
    </row>
    <row r="5" spans="1:10" x14ac:dyDescent="0.7">
      <c r="B5" s="1">
        <f>EDATE($C$1,6)</f>
        <v>42683</v>
      </c>
      <c r="C5" t="s">
        <v>16</v>
      </c>
      <c r="D5">
        <v>0.03</v>
      </c>
      <c r="E5">
        <f>1/(1+D5)</f>
        <v>0.970873786407767</v>
      </c>
      <c r="F5">
        <f>(B5-C1)/360</f>
        <v>0.51111111111111107</v>
      </c>
      <c r="G5">
        <f>E5*F5</f>
        <v>0.49622437971952532</v>
      </c>
    </row>
    <row r="6" spans="1:10" x14ac:dyDescent="0.7">
      <c r="D6" t="s">
        <v>17</v>
      </c>
    </row>
    <row r="7" spans="1:10" x14ac:dyDescent="0.7">
      <c r="A7">
        <v>12</v>
      </c>
      <c r="B7" s="1">
        <f>EDATE($C$1,12)</f>
        <v>42864</v>
      </c>
      <c r="C7" t="s">
        <v>1</v>
      </c>
      <c r="D7">
        <f>(1-E7)/SUM(G5:G7)</f>
        <v>5.0000015362731881E-2</v>
      </c>
      <c r="E7">
        <v>0.9512747751672449</v>
      </c>
      <c r="F7">
        <f>(B7-B5)/360</f>
        <v>0.50277777777777777</v>
      </c>
      <c r="G7">
        <f>E7*F7</f>
        <v>0.47827981751464255</v>
      </c>
    </row>
    <row r="8" spans="1:10" x14ac:dyDescent="0.7">
      <c r="A8">
        <f>A7+6</f>
        <v>18</v>
      </c>
      <c r="B8" s="1">
        <f>EDATE($C$1,A8)</f>
        <v>43048</v>
      </c>
      <c r="C8" t="s">
        <v>2</v>
      </c>
      <c r="E8">
        <f>SQRT(E7)*SQRT(E9)</f>
        <v>0.91837847298821917</v>
      </c>
      <c r="F8">
        <f>(B8-B7)/360</f>
        <v>0.51111111111111107</v>
      </c>
      <c r="G8">
        <f>E8*F8</f>
        <v>0.46939344174953423</v>
      </c>
    </row>
    <row r="9" spans="1:10" x14ac:dyDescent="0.7">
      <c r="A9">
        <f t="shared" ref="A9:A17" si="0">A8+6</f>
        <v>24</v>
      </c>
      <c r="B9" s="1">
        <f t="shared" ref="B9:B17" si="1">EDATE($C$1,A9)</f>
        <v>43229</v>
      </c>
      <c r="C9" t="s">
        <v>3</v>
      </c>
      <c r="D9">
        <f>(1-E9)/SUM(G5:G9)</f>
        <v>6.0000006107988668E-2</v>
      </c>
      <c r="E9">
        <v>0.88661976714340018</v>
      </c>
      <c r="F9">
        <f t="shared" ref="F9:F17" si="2">(B9-B8)/360</f>
        <v>0.50277777777777777</v>
      </c>
      <c r="G9">
        <f>E9*F9</f>
        <v>0.44577271625820952</v>
      </c>
    </row>
    <row r="10" spans="1:10" x14ac:dyDescent="0.7">
      <c r="A10">
        <f t="shared" si="0"/>
        <v>30</v>
      </c>
      <c r="B10" s="1">
        <f t="shared" si="1"/>
        <v>43413</v>
      </c>
      <c r="C10" t="s">
        <v>4</v>
      </c>
      <c r="E10">
        <f>SQRT(E9)*SQRT(E11)</f>
        <v>0.84689619607549982</v>
      </c>
      <c r="F10">
        <f t="shared" si="2"/>
        <v>0.51111111111111107</v>
      </c>
      <c r="G10">
        <f>E10*F10</f>
        <v>0.4328580557719221</v>
      </c>
    </row>
    <row r="11" spans="1:10" x14ac:dyDescent="0.7">
      <c r="A11">
        <f t="shared" si="0"/>
        <v>36</v>
      </c>
      <c r="B11" s="1">
        <f t="shared" si="1"/>
        <v>43594</v>
      </c>
      <c r="C11" t="s">
        <v>5</v>
      </c>
      <c r="D11">
        <f>(1-E11)/SUM(G5:G11)</f>
        <v>7.0000002248990778E-2</v>
      </c>
      <c r="E11">
        <v>0.80895237564802402</v>
      </c>
      <c r="F11">
        <f t="shared" si="2"/>
        <v>0.50277777777777777</v>
      </c>
      <c r="G11">
        <f>E11*F11</f>
        <v>0.40672327775636763</v>
      </c>
    </row>
    <row r="12" spans="1:10" x14ac:dyDescent="0.7">
      <c r="A12">
        <f t="shared" si="0"/>
        <v>42</v>
      </c>
      <c r="B12" s="1">
        <f t="shared" si="1"/>
        <v>43778</v>
      </c>
      <c r="C12" t="s">
        <v>6</v>
      </c>
      <c r="E12">
        <f>SQRT(E11)*SQRT(E13)</f>
        <v>0.76384679270367029</v>
      </c>
      <c r="F12">
        <f t="shared" si="2"/>
        <v>0.51111111111111107</v>
      </c>
      <c r="G12">
        <f>E12*F12</f>
        <v>0.39041058293743147</v>
      </c>
    </row>
    <row r="13" spans="1:10" x14ac:dyDescent="0.7">
      <c r="A13">
        <f t="shared" si="0"/>
        <v>48</v>
      </c>
      <c r="B13" s="1">
        <f t="shared" si="1"/>
        <v>43960</v>
      </c>
      <c r="C13" t="s">
        <v>7</v>
      </c>
      <c r="D13">
        <f>(1-E13)/SUM(G5:G13)</f>
        <v>8.000000111114286E-2</v>
      </c>
      <c r="E13">
        <v>0.72125620776660992</v>
      </c>
      <c r="F13">
        <f t="shared" si="2"/>
        <v>0.50555555555555554</v>
      </c>
      <c r="G13">
        <f>E13*F13</f>
        <v>0.36463508281534168</v>
      </c>
    </row>
    <row r="14" spans="1:10" x14ac:dyDescent="0.7">
      <c r="A14">
        <f t="shared" si="0"/>
        <v>54</v>
      </c>
      <c r="B14" s="1">
        <f t="shared" si="1"/>
        <v>44144</v>
      </c>
      <c r="C14" t="s">
        <v>8</v>
      </c>
      <c r="E14">
        <f>SQRT(E13)*SQRT(E15)</f>
        <v>0.68287546031862456</v>
      </c>
      <c r="F14">
        <f t="shared" si="2"/>
        <v>0.51111111111111107</v>
      </c>
      <c r="G14">
        <f>E14*F14</f>
        <v>0.34902523527396362</v>
      </c>
    </row>
    <row r="15" spans="1:10" x14ac:dyDescent="0.7">
      <c r="A15">
        <f t="shared" si="0"/>
        <v>60</v>
      </c>
      <c r="B15" s="1">
        <f t="shared" si="1"/>
        <v>44325</v>
      </c>
      <c r="C15" t="s">
        <v>9</v>
      </c>
      <c r="D15">
        <f>(1-E15)/SUM(G5:G15)</f>
        <v>8.500000055634839E-2</v>
      </c>
      <c r="E15">
        <v>0.64653709636599599</v>
      </c>
      <c r="F15">
        <f t="shared" si="2"/>
        <v>0.50277777777777777</v>
      </c>
      <c r="G15">
        <f>E15*F15</f>
        <v>0.32506448456179243</v>
      </c>
    </row>
    <row r="16" spans="1:10" x14ac:dyDescent="0.7">
      <c r="A16">
        <f t="shared" si="0"/>
        <v>66</v>
      </c>
      <c r="B16" s="1">
        <f t="shared" si="1"/>
        <v>44509</v>
      </c>
      <c r="C16" t="s">
        <v>10</v>
      </c>
      <c r="E16">
        <f>SQRT(E15)*SQRT(E17)</f>
        <v>0</v>
      </c>
      <c r="F16">
        <f t="shared" si="2"/>
        <v>0.51111111111111107</v>
      </c>
      <c r="G16">
        <f>E16*F16</f>
        <v>0</v>
      </c>
    </row>
    <row r="17" spans="1:7" x14ac:dyDescent="0.7">
      <c r="A17">
        <f t="shared" si="0"/>
        <v>72</v>
      </c>
      <c r="B17" s="1">
        <f t="shared" si="1"/>
        <v>44690</v>
      </c>
      <c r="C17" t="s">
        <v>11</v>
      </c>
      <c r="D17">
        <v>0.09</v>
      </c>
      <c r="F17">
        <f t="shared" si="2"/>
        <v>0.50277777777777777</v>
      </c>
      <c r="G17">
        <f>E17*F17</f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43 mmatthew</dc:creator>
  <cp:lastModifiedBy>43 mmatthew</cp:lastModifiedBy>
  <dcterms:created xsi:type="dcterms:W3CDTF">2016-05-01T08:02:29Z</dcterms:created>
  <dcterms:modified xsi:type="dcterms:W3CDTF">2016-05-01T11:32:31Z</dcterms:modified>
</cp:coreProperties>
</file>